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elop-Pricing\Proyecto-Pricing\Pricing\"/>
    </mc:Choice>
  </mc:AlternateContent>
  <bookViews>
    <workbookView xWindow="0" yWindow="0" windowWidth="20496" windowHeight="7944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B60" i="1" l="1"/>
  <c r="B61" i="1" s="1"/>
  <c r="B58" i="1"/>
  <c r="B39" i="1" l="1"/>
  <c r="B35" i="1"/>
  <c r="B29" i="1"/>
  <c r="C19" i="1"/>
  <c r="C18" i="1"/>
  <c r="C17" i="1"/>
  <c r="C9" i="1"/>
  <c r="B15" i="1" s="1"/>
  <c r="B55" i="1" s="1"/>
  <c r="C8" i="1"/>
  <c r="B14" i="1" s="1"/>
  <c r="B54" i="1" s="1"/>
  <c r="B47" i="1" l="1"/>
  <c r="B38" i="1"/>
  <c r="B40" i="1"/>
  <c r="B44" i="1"/>
  <c r="B46" i="1"/>
  <c r="B48" i="1"/>
  <c r="B45" i="1"/>
  <c r="B41" i="1" l="1"/>
  <c r="B49" i="1"/>
  <c r="B53" i="1" l="1"/>
  <c r="B52" i="1"/>
  <c r="B56" i="1" l="1"/>
  <c r="B59" i="1" l="1"/>
  <c r="B63" i="1" l="1"/>
  <c r="B64" i="1"/>
  <c r="C39" i="1"/>
  <c r="C47" i="1"/>
  <c r="C55" i="1"/>
  <c r="C54" i="1"/>
  <c r="C48" i="1"/>
  <c r="C45" i="1"/>
  <c r="C44" i="1"/>
  <c r="C38" i="1"/>
  <c r="C46" i="1"/>
  <c r="C40" i="1"/>
  <c r="C49" i="1"/>
  <c r="C41" i="1"/>
  <c r="C53" i="1"/>
  <c r="C52" i="1"/>
  <c r="C56" i="1"/>
</calcChain>
</file>

<file path=xl/sharedStrings.xml><?xml version="1.0" encoding="utf-8"?>
<sst xmlns="http://schemas.openxmlformats.org/spreadsheetml/2006/main" count="58" uniqueCount="52">
  <si>
    <t>Costeo Fijo por flete IDA X viaje</t>
  </si>
  <si>
    <t>Ruta</t>
  </si>
  <si>
    <t>MTY-CDJ</t>
  </si>
  <si>
    <t>Kilometraje</t>
  </si>
  <si>
    <t xml:space="preserve">Sencillo </t>
  </si>
  <si>
    <t>Producto</t>
  </si>
  <si>
    <t xml:space="preserve"> Torton</t>
  </si>
  <si>
    <t>Depreciación</t>
  </si>
  <si>
    <t>MESES</t>
  </si>
  <si>
    <t>Costo Unidad</t>
  </si>
  <si>
    <t>Costo Caja 53 ft</t>
  </si>
  <si>
    <t>Viajes al mes</t>
  </si>
  <si>
    <t>Kms al mes por unidad</t>
  </si>
  <si>
    <t>Factor/ KM Depreciación</t>
  </si>
  <si>
    <t>Dep Tracto</t>
  </si>
  <si>
    <t>Dep Caja</t>
  </si>
  <si>
    <t>mensual</t>
  </si>
  <si>
    <t>km</t>
  </si>
  <si>
    <t>Renta GPS</t>
  </si>
  <si>
    <t>Placas y tenencias</t>
  </si>
  <si>
    <t>Seguro</t>
  </si>
  <si>
    <t>Admvo</t>
  </si>
  <si>
    <t>Financieros</t>
  </si>
  <si>
    <t>Mtto unidad por km</t>
  </si>
  <si>
    <t>Llantas</t>
  </si>
  <si>
    <t>Operador</t>
  </si>
  <si>
    <t>Doble Operador</t>
  </si>
  <si>
    <t>Factores y premisas</t>
  </si>
  <si>
    <t>1 Trailer; 1 Remolque</t>
  </si>
  <si>
    <t>Km sencillo</t>
  </si>
  <si>
    <t>Km round trip</t>
  </si>
  <si>
    <t>Kms mensuales</t>
  </si>
  <si>
    <t>Casetas single</t>
  </si>
  <si>
    <t>Rendimiento</t>
  </si>
  <si>
    <t>Diesel</t>
  </si>
  <si>
    <t>Diesel sin IVA</t>
  </si>
  <si>
    <t>Costo Operativo Directo Variable</t>
  </si>
  <si>
    <t>Combustible</t>
  </si>
  <si>
    <t>Casetas</t>
  </si>
  <si>
    <t>SubTotal</t>
  </si>
  <si>
    <t>Costo Operativo indirecto fijo</t>
  </si>
  <si>
    <t>Mtto Unidad</t>
  </si>
  <si>
    <t>Llantas Unidad</t>
  </si>
  <si>
    <t>GPS</t>
  </si>
  <si>
    <t>Placas y Tenencia</t>
  </si>
  <si>
    <t>Costos Admvo &amp; Financiero</t>
  </si>
  <si>
    <t>Depr. Unidad</t>
  </si>
  <si>
    <t>Depr. Remolque</t>
  </si>
  <si>
    <t>Total de costos</t>
  </si>
  <si>
    <t>Total transportista</t>
  </si>
  <si>
    <t xml:space="preserve">Costo por km </t>
  </si>
  <si>
    <t>Costo por km Transportista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</si>
</sst>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$-80A]* #,##0.00_-;\-[$$-80A]* #,##0.00_-;_-[$$-80A]* &quot;-&quot;??_-;_-@_-"/>
    <numFmt numFmtId="165" formatCode="_-&quot;$&quot;* #,##0_-;\-&quot;$&quot;* #,##0_-;_-&quot;$&quot;* &quot;-&quot;??_-;_-@_-"/>
    <numFmt numFmtId="166" formatCode="_-* #,##0\ _€_-;\-* #,##0\ _€_-;_-* &quot;-&quot;??\ _€_-;_-@_-"/>
    <numFmt numFmtId="167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/>
    <xf numFmtId="0" fontId="1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9" fontId="0" fillId="0" borderId="0" xfId="2" applyNumberFormat="1" applyFont="1"/>
    <xf numFmtId="0" fontId="0" fillId="0" borderId="0" xfId="0"/>
    <xf numFmtId="164" fontId="0" fillId="0" borderId="0" xfId="0" applyNumberFormat="1"/>
    <xf numFmtId="44" fontId="0" fillId="0" borderId="0" xfId="1" applyFont="1"/>
    <xf numFmtId="0" fontId="0" fillId="0" borderId="0" xfId="0" applyFill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165" fontId="0" fillId="0" borderId="2" xfId="1" applyNumberFormat="1" applyFont="1" applyFill="1" applyBorder="1" applyAlignment="1">
      <alignment vertical="center"/>
    </xf>
    <xf numFmtId="165" fontId="0" fillId="0" borderId="11" xfId="0" applyNumberFormat="1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165" fontId="0" fillId="0" borderId="13" xfId="1" applyNumberFormat="1" applyFont="1" applyFill="1" applyBorder="1" applyAlignment="1">
      <alignment vertical="center"/>
    </xf>
    <xf numFmtId="165" fontId="0" fillId="0" borderId="14" xfId="0" applyNumberForma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166" fontId="0" fillId="0" borderId="16" xfId="0" applyNumberFormat="1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44" fontId="0" fillId="0" borderId="19" xfId="0" applyNumberFormat="1" applyFill="1" applyBorder="1" applyAlignment="1">
      <alignment vertical="center"/>
    </xf>
    <xf numFmtId="0" fontId="0" fillId="0" borderId="20" xfId="0" applyFill="1" applyBorder="1" applyAlignment="1">
      <alignment vertical="center"/>
    </xf>
    <xf numFmtId="44" fontId="0" fillId="0" borderId="21" xfId="0" applyNumberFormat="1" applyFill="1" applyBorder="1" applyAlignment="1">
      <alignment vertical="center"/>
    </xf>
    <xf numFmtId="0" fontId="0" fillId="0" borderId="7" xfId="0" applyFill="1" applyBorder="1" applyAlignment="1">
      <alignment vertical="center"/>
    </xf>
    <xf numFmtId="165" fontId="0" fillId="0" borderId="8" xfId="1" applyNumberFormat="1" applyFont="1" applyFill="1" applyBorder="1" applyAlignment="1">
      <alignment vertical="center"/>
    </xf>
    <xf numFmtId="2" fontId="0" fillId="0" borderId="9" xfId="0" applyNumberFormat="1" applyFill="1" applyBorder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167" fontId="0" fillId="0" borderId="22" xfId="0" applyNumberFormat="1" applyFill="1" applyBorder="1" applyAlignment="1">
      <alignment vertical="center"/>
    </xf>
    <xf numFmtId="9" fontId="0" fillId="0" borderId="0" xfId="0" applyNumberFormat="1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24" xfId="0" applyFill="1" applyBorder="1" applyAlignment="1">
      <alignment vertical="center"/>
    </xf>
    <xf numFmtId="44" fontId="0" fillId="0" borderId="0" xfId="0" applyNumberFormat="1" applyFill="1" applyBorder="1" applyAlignment="1">
      <alignment vertical="center"/>
    </xf>
    <xf numFmtId="166" fontId="0" fillId="4" borderId="22" xfId="3" applyNumberFormat="1" applyFont="1" applyFill="1" applyBorder="1" applyAlignment="1">
      <alignment vertical="center"/>
    </xf>
    <xf numFmtId="166" fontId="0" fillId="0" borderId="22" xfId="3" applyNumberFormat="1" applyFont="1" applyFill="1" applyBorder="1" applyAlignment="1">
      <alignment vertical="center"/>
    </xf>
    <xf numFmtId="165" fontId="0" fillId="3" borderId="22" xfId="0" applyNumberForma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167" fontId="4" fillId="4" borderId="22" xfId="0" applyNumberFormat="1" applyFont="1" applyFill="1" applyBorder="1" applyAlignment="1">
      <alignment vertical="center"/>
    </xf>
    <xf numFmtId="44" fontId="0" fillId="4" borderId="22" xfId="1" applyFont="1" applyFill="1" applyBorder="1" applyAlignment="1">
      <alignment vertical="center"/>
    </xf>
    <xf numFmtId="9" fontId="0" fillId="0" borderId="0" xfId="0" applyNumberFormat="1" applyFill="1" applyAlignment="1">
      <alignment vertical="center"/>
    </xf>
    <xf numFmtId="44" fontId="0" fillId="0" borderId="24" xfId="1" applyFont="1" applyFill="1" applyBorder="1" applyAlignment="1">
      <alignment vertical="center"/>
    </xf>
    <xf numFmtId="0" fontId="0" fillId="0" borderId="22" xfId="2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165" fontId="5" fillId="0" borderId="0" xfId="1" applyNumberFormat="1" applyFont="1" applyFill="1" applyBorder="1" applyAlignment="1">
      <alignment vertical="center"/>
    </xf>
    <xf numFmtId="0" fontId="5" fillId="0" borderId="22" xfId="2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165" fontId="3" fillId="0" borderId="23" xfId="1" applyNumberFormat="1" applyFont="1" applyFill="1" applyBorder="1" applyAlignment="1">
      <alignment vertical="center"/>
    </xf>
    <xf numFmtId="0" fontId="3" fillId="0" borderId="24" xfId="2" applyFont="1" applyFill="1" applyBorder="1" applyAlignment="1">
      <alignment vertical="center"/>
    </xf>
    <xf numFmtId="0" fontId="0" fillId="0" borderId="0" xfId="2" applyFont="1" applyFill="1" applyAlignment="1">
      <alignment vertical="center"/>
    </xf>
    <xf numFmtId="0" fontId="3" fillId="0" borderId="7" xfId="0" applyFont="1" applyFill="1" applyBorder="1" applyAlignment="1">
      <alignment vertical="center"/>
    </xf>
    <xf numFmtId="165" fontId="3" fillId="0" borderId="8" xfId="1" applyNumberFormat="1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0" fillId="0" borderId="7" xfId="0" applyFill="1" applyBorder="1" applyAlignment="1">
      <alignment horizontal="right" vertical="center"/>
    </xf>
    <xf numFmtId="0" fontId="0" fillId="0" borderId="9" xfId="0" applyFill="1" applyBorder="1" applyAlignment="1">
      <alignment vertical="center"/>
    </xf>
    <xf numFmtId="0" fontId="2" fillId="0" borderId="18" xfId="2" applyFont="1" applyFill="1" applyBorder="1" applyAlignment="1">
      <alignment vertical="center"/>
    </xf>
    <xf numFmtId="44" fontId="0" fillId="0" borderId="0" xfId="1" applyNumberFormat="1" applyFont="1" applyFill="1" applyBorder="1" applyAlignment="1">
      <alignment vertical="center"/>
    </xf>
    <xf numFmtId="0" fontId="0" fillId="0" borderId="20" xfId="0" applyFill="1" applyBorder="1" applyAlignment="1">
      <alignment horizontal="right" vertical="center"/>
    </xf>
    <xf numFmtId="0" fontId="3" fillId="0" borderId="0" xfId="0" applyFont="1" applyFill="1" applyAlignment="1">
      <alignment vertical="center"/>
    </xf>
    <xf numFmtId="44" fontId="3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" fillId="0" borderId="7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topLeftCell="A49" workbookViewId="0">
      <selection activeCell="D60" sqref="D60"/>
    </sheetView>
  </sheetViews>
  <sheetFormatPr baseColWidth="10" defaultRowHeight="14.4" x14ac:dyDescent="0.3"/>
  <cols>
    <col min="1" max="1" width="25.6640625" style="2" customWidth="1"/>
    <col min="2" max="2" width="19.6640625" style="2" customWidth="1"/>
    <col min="3" max="3" width="15.21875" style="2" customWidth="1"/>
    <col min="4" max="4" width="12.88671875" style="3" customWidth="1"/>
    <col min="5" max="5" width="13.21875" style="3" customWidth="1"/>
    <col min="6" max="6" width="13" style="1" customWidth="1"/>
    <col min="7" max="7" width="19.77734375" style="4" customWidth="1"/>
  </cols>
  <sheetData>
    <row r="1" spans="1:7" x14ac:dyDescent="0.3">
      <c r="A1" s="71" t="s">
        <v>0</v>
      </c>
      <c r="B1" s="72"/>
      <c r="C1" s="73"/>
      <c r="D1"/>
      <c r="E1"/>
      <c r="F1"/>
      <c r="G1"/>
    </row>
    <row r="2" spans="1:7" x14ac:dyDescent="0.3">
      <c r="A2" s="6" t="s">
        <v>1</v>
      </c>
      <c r="B2" s="7" t="s">
        <v>2</v>
      </c>
      <c r="C2" s="8"/>
      <c r="D2"/>
      <c r="E2"/>
      <c r="F2"/>
      <c r="G2"/>
    </row>
    <row r="3" spans="1:7" x14ac:dyDescent="0.3">
      <c r="A3" s="6" t="s">
        <v>3</v>
      </c>
      <c r="B3" s="9">
        <v>1169</v>
      </c>
      <c r="C3" s="8"/>
      <c r="D3"/>
      <c r="E3"/>
      <c r="F3"/>
      <c r="G3"/>
    </row>
    <row r="4" spans="1:7" x14ac:dyDescent="0.3">
      <c r="A4" s="10" t="s">
        <v>4</v>
      </c>
      <c r="B4" s="74"/>
      <c r="C4" s="75"/>
      <c r="D4"/>
      <c r="E4"/>
      <c r="F4"/>
      <c r="G4"/>
    </row>
    <row r="5" spans="1:7" x14ac:dyDescent="0.3">
      <c r="A5" s="10" t="s">
        <v>5</v>
      </c>
      <c r="B5" s="76" t="s">
        <v>6</v>
      </c>
      <c r="C5" s="77"/>
      <c r="D5"/>
      <c r="E5"/>
      <c r="F5"/>
      <c r="G5"/>
    </row>
    <row r="6" spans="1:7" ht="15" thickBot="1" x14ac:dyDescent="0.35">
      <c r="A6" s="12"/>
      <c r="B6" s="12"/>
      <c r="C6" s="12"/>
      <c r="D6"/>
      <c r="E6"/>
      <c r="F6"/>
      <c r="G6"/>
    </row>
    <row r="7" spans="1:7" x14ac:dyDescent="0.3">
      <c r="A7" s="13" t="s">
        <v>7</v>
      </c>
      <c r="B7" s="14">
        <v>60</v>
      </c>
      <c r="C7" s="15" t="s">
        <v>8</v>
      </c>
      <c r="D7"/>
      <c r="E7"/>
      <c r="F7"/>
      <c r="G7"/>
    </row>
    <row r="8" spans="1:7" x14ac:dyDescent="0.3">
      <c r="A8" s="16" t="s">
        <v>9</v>
      </c>
      <c r="B8" s="17">
        <v>800000</v>
      </c>
      <c r="C8" s="18">
        <f>B8/$B$7</f>
        <v>13333.333333333334</v>
      </c>
      <c r="D8"/>
      <c r="E8"/>
      <c r="F8"/>
      <c r="G8"/>
    </row>
    <row r="9" spans="1:7" x14ac:dyDescent="0.3">
      <c r="A9" s="19" t="s">
        <v>10</v>
      </c>
      <c r="B9" s="20">
        <v>90000</v>
      </c>
      <c r="C9" s="21">
        <f>B9/$B$7</f>
        <v>1500</v>
      </c>
      <c r="D9"/>
      <c r="E9"/>
      <c r="F9"/>
      <c r="G9"/>
    </row>
    <row r="10" spans="1:7" x14ac:dyDescent="0.3">
      <c r="A10" s="16" t="s">
        <v>11</v>
      </c>
      <c r="B10" s="22">
        <v>1</v>
      </c>
      <c r="C10" s="23"/>
    </row>
    <row r="11" spans="1:7" ht="15" thickBot="1" x14ac:dyDescent="0.35">
      <c r="A11" s="24" t="s">
        <v>12</v>
      </c>
      <c r="B11" s="25">
        <v>14000</v>
      </c>
      <c r="C11" s="26"/>
    </row>
    <row r="12" spans="1:7" ht="15" thickBot="1" x14ac:dyDescent="0.35">
      <c r="A12" s="5"/>
      <c r="B12" s="5"/>
      <c r="C12" s="11"/>
    </row>
    <row r="13" spans="1:7" x14ac:dyDescent="0.3">
      <c r="A13" s="78" t="s">
        <v>13</v>
      </c>
      <c r="B13" s="79"/>
      <c r="C13" s="11"/>
    </row>
    <row r="14" spans="1:7" x14ac:dyDescent="0.3">
      <c r="A14" s="27" t="s">
        <v>14</v>
      </c>
      <c r="B14" s="28">
        <f>$C$8/$B$11</f>
        <v>0.95238095238095244</v>
      </c>
      <c r="C14" s="11"/>
    </row>
    <row r="15" spans="1:7" ht="15" thickBot="1" x14ac:dyDescent="0.35">
      <c r="A15" s="29" t="s">
        <v>15</v>
      </c>
      <c r="B15" s="30">
        <f>$C$9/$B$11</f>
        <v>0.10714285714285714</v>
      </c>
      <c r="C15" s="5"/>
    </row>
    <row r="16" spans="1:7" ht="15" thickBot="1" x14ac:dyDescent="0.35">
      <c r="A16" s="5"/>
      <c r="B16" s="5" t="s">
        <v>16</v>
      </c>
      <c r="C16" s="5" t="s">
        <v>17</v>
      </c>
    </row>
    <row r="17" spans="1:3" x14ac:dyDescent="0.3">
      <c r="A17" s="31" t="s">
        <v>18</v>
      </c>
      <c r="B17" s="32">
        <v>400</v>
      </c>
      <c r="C17" s="33">
        <f>B17/$C$33</f>
        <v>2.6666666666666668E-2</v>
      </c>
    </row>
    <row r="18" spans="1:3" x14ac:dyDescent="0.3">
      <c r="A18" s="27" t="s">
        <v>19</v>
      </c>
      <c r="B18" s="34">
        <v>3000</v>
      </c>
      <c r="C18" s="35">
        <f>B18/$C$33</f>
        <v>0.2</v>
      </c>
    </row>
    <row r="19" spans="1:3" x14ac:dyDescent="0.3">
      <c r="A19" s="27" t="s">
        <v>20</v>
      </c>
      <c r="B19" s="34">
        <v>10000</v>
      </c>
      <c r="C19" s="35">
        <f>B19/$C$33</f>
        <v>0.66666666666666663</v>
      </c>
    </row>
    <row r="20" spans="1:3" x14ac:dyDescent="0.3">
      <c r="A20" s="27" t="s">
        <v>21</v>
      </c>
      <c r="B20" s="36">
        <v>0.04</v>
      </c>
      <c r="C20" s="37"/>
    </row>
    <row r="21" spans="1:3" x14ac:dyDescent="0.3">
      <c r="A21" s="27" t="s">
        <v>22</v>
      </c>
      <c r="B21" s="36">
        <v>0.02</v>
      </c>
      <c r="C21" s="37"/>
    </row>
    <row r="22" spans="1:3" x14ac:dyDescent="0.3">
      <c r="A22" s="27" t="s">
        <v>23</v>
      </c>
      <c r="B22" s="11">
        <v>1.3</v>
      </c>
      <c r="C22" s="37"/>
    </row>
    <row r="23" spans="1:3" x14ac:dyDescent="0.3">
      <c r="A23" s="27" t="s">
        <v>24</v>
      </c>
      <c r="B23" s="11">
        <v>0.3</v>
      </c>
      <c r="C23" s="37"/>
    </row>
    <row r="24" spans="1:3" x14ac:dyDescent="0.3">
      <c r="A24" s="27" t="s">
        <v>25</v>
      </c>
      <c r="B24" s="11">
        <v>1.3</v>
      </c>
      <c r="C24" s="37"/>
    </row>
    <row r="25" spans="1:3" ht="15" thickBot="1" x14ac:dyDescent="0.35">
      <c r="A25" s="29" t="s">
        <v>26</v>
      </c>
      <c r="B25" s="38">
        <v>1.3</v>
      </c>
      <c r="C25" s="39"/>
    </row>
    <row r="26" spans="1:3" ht="15" thickBot="1" x14ac:dyDescent="0.35">
      <c r="A26" s="40"/>
      <c r="B26" s="11"/>
      <c r="C26" s="11"/>
    </row>
    <row r="27" spans="1:3" x14ac:dyDescent="0.3">
      <c r="A27" s="78" t="s">
        <v>27</v>
      </c>
      <c r="B27" s="79"/>
    </row>
    <row r="28" spans="1:3" x14ac:dyDescent="0.3">
      <c r="A28" s="27" t="s">
        <v>28</v>
      </c>
      <c r="B28" s="37">
        <v>1</v>
      </c>
    </row>
    <row r="29" spans="1:3" x14ac:dyDescent="0.3">
      <c r="A29" s="27" t="s">
        <v>29</v>
      </c>
      <c r="B29" s="41">
        <f>B3</f>
        <v>1169</v>
      </c>
      <c r="C29" s="11"/>
    </row>
    <row r="30" spans="1:3" x14ac:dyDescent="0.3">
      <c r="A30" s="27" t="s">
        <v>30</v>
      </c>
      <c r="B30" s="42"/>
      <c r="C30" s="11"/>
    </row>
    <row r="31" spans="1:3" x14ac:dyDescent="0.3">
      <c r="A31" s="27" t="s">
        <v>31</v>
      </c>
      <c r="B31" s="42"/>
    </row>
    <row r="32" spans="1:3" x14ac:dyDescent="0.3">
      <c r="A32" s="27" t="s">
        <v>32</v>
      </c>
      <c r="B32" s="43">
        <v>3996</v>
      </c>
      <c r="C32" s="5"/>
    </row>
    <row r="33" spans="1:3" x14ac:dyDescent="0.3">
      <c r="A33" s="44" t="s">
        <v>33</v>
      </c>
      <c r="B33" s="45">
        <v>2.8</v>
      </c>
      <c r="C33" s="67">
        <v>15000</v>
      </c>
    </row>
    <row r="34" spans="1:3" x14ac:dyDescent="0.3">
      <c r="A34" s="27" t="s">
        <v>34</v>
      </c>
      <c r="B34" s="46">
        <v>21.8</v>
      </c>
      <c r="C34" s="47">
        <v>0.16</v>
      </c>
    </row>
    <row r="35" spans="1:3" ht="15" thickBot="1" x14ac:dyDescent="0.35">
      <c r="A35" s="29" t="s">
        <v>35</v>
      </c>
      <c r="B35" s="48">
        <f>B34*(1-C34)</f>
        <v>18.312000000000001</v>
      </c>
      <c r="C35" s="5"/>
    </row>
    <row r="36" spans="1:3" ht="15" thickBot="1" x14ac:dyDescent="0.35">
      <c r="A36" s="5"/>
      <c r="B36" s="5"/>
      <c r="C36" s="5"/>
    </row>
    <row r="37" spans="1:3" x14ac:dyDescent="0.3">
      <c r="A37" s="68" t="s">
        <v>36</v>
      </c>
      <c r="B37" s="69"/>
      <c r="C37" s="70"/>
    </row>
    <row r="38" spans="1:3" x14ac:dyDescent="0.3">
      <c r="A38" s="27" t="s">
        <v>37</v>
      </c>
      <c r="B38" s="34">
        <f>(B29/B33)*B35</f>
        <v>7645.26</v>
      </c>
      <c r="C38" s="49">
        <f>B38/$B$58</f>
        <v>0.43206869866222375</v>
      </c>
    </row>
    <row r="39" spans="1:3" x14ac:dyDescent="0.3">
      <c r="A39" s="50" t="s">
        <v>38</v>
      </c>
      <c r="B39" s="51">
        <f>B32/1.16</f>
        <v>3444.8275862068967</v>
      </c>
      <c r="C39" s="52">
        <f>B39/$B$58</f>
        <v>0.19468300257782511</v>
      </c>
    </row>
    <row r="40" spans="1:3" x14ac:dyDescent="0.3">
      <c r="A40" s="50" t="s">
        <v>25</v>
      </c>
      <c r="B40" s="51">
        <f>(B29*B24)</f>
        <v>1519.7</v>
      </c>
      <c r="C40" s="52">
        <f>B40/$B$58</f>
        <v>8.5885215330411449E-2</v>
      </c>
    </row>
    <row r="41" spans="1:3" ht="15" thickBot="1" x14ac:dyDescent="0.35">
      <c r="A41" s="53" t="s">
        <v>39</v>
      </c>
      <c r="B41" s="54">
        <f>SUM(B38:B40)</f>
        <v>12609.787586206898</v>
      </c>
      <c r="C41" s="55">
        <f>B41/$B$58</f>
        <v>0.71263691657046035</v>
      </c>
    </row>
    <row r="42" spans="1:3" ht="15" thickBot="1" x14ac:dyDescent="0.35">
      <c r="A42" s="11"/>
      <c r="B42" s="34"/>
      <c r="C42" s="56"/>
    </row>
    <row r="43" spans="1:3" x14ac:dyDescent="0.3">
      <c r="A43" s="57" t="s">
        <v>40</v>
      </c>
      <c r="B43" s="58"/>
      <c r="C43" s="59"/>
    </row>
    <row r="44" spans="1:3" x14ac:dyDescent="0.3">
      <c r="A44" s="27" t="s">
        <v>41</v>
      </c>
      <c r="B44" s="34">
        <f>B29*B22</f>
        <v>1519.7</v>
      </c>
      <c r="C44" s="49">
        <f t="shared" ref="C44:C49" si="0">B44/$B$58</f>
        <v>8.5885215330411449E-2</v>
      </c>
    </row>
    <row r="45" spans="1:3" x14ac:dyDescent="0.3">
      <c r="A45" s="27" t="s">
        <v>42</v>
      </c>
      <c r="B45" s="34">
        <f>B29*B23</f>
        <v>350.7</v>
      </c>
      <c r="C45" s="49">
        <f t="shared" si="0"/>
        <v>1.9819665076248796E-2</v>
      </c>
    </row>
    <row r="46" spans="1:3" x14ac:dyDescent="0.3">
      <c r="A46" s="27" t="s">
        <v>43</v>
      </c>
      <c r="B46" s="34">
        <f>B29*C17</f>
        <v>31.173333333333336</v>
      </c>
      <c r="C46" s="49">
        <f t="shared" si="0"/>
        <v>1.7617480067776709E-3</v>
      </c>
    </row>
    <row r="47" spans="1:3" x14ac:dyDescent="0.3">
      <c r="A47" s="27" t="s">
        <v>20</v>
      </c>
      <c r="B47" s="34">
        <f>B29*C19</f>
        <v>779.33333333333326</v>
      </c>
      <c r="C47" s="49">
        <f t="shared" si="0"/>
        <v>4.4043700169441764E-2</v>
      </c>
    </row>
    <row r="48" spans="1:3" x14ac:dyDescent="0.3">
      <c r="A48" s="27" t="s">
        <v>44</v>
      </c>
      <c r="B48" s="34">
        <f>B29*C18</f>
        <v>233.8</v>
      </c>
      <c r="C48" s="49">
        <f t="shared" si="0"/>
        <v>1.3213110050832531E-2</v>
      </c>
    </row>
    <row r="49" spans="1:7" ht="15" thickBot="1" x14ac:dyDescent="0.35">
      <c r="A49" s="53" t="s">
        <v>39</v>
      </c>
      <c r="B49" s="54">
        <f>SUM(B44:B48)</f>
        <v>2914.7066666666669</v>
      </c>
      <c r="C49" s="55">
        <f t="shared" si="0"/>
        <v>0.16472343863371222</v>
      </c>
    </row>
    <row r="50" spans="1:7" ht="15" thickBot="1" x14ac:dyDescent="0.35">
      <c r="A50" s="11"/>
      <c r="B50" s="34"/>
      <c r="C50" s="5"/>
    </row>
    <row r="51" spans="1:7" x14ac:dyDescent="0.3">
      <c r="A51" s="57" t="s">
        <v>45</v>
      </c>
      <c r="B51" s="58"/>
      <c r="C51" s="59"/>
    </row>
    <row r="52" spans="1:7" x14ac:dyDescent="0.3">
      <c r="A52" s="27" t="s">
        <v>21</v>
      </c>
      <c r="B52" s="34">
        <f>(B41+B49)*B20</f>
        <v>620.97977011494265</v>
      </c>
      <c r="C52" s="49">
        <f>B52/$B$58</f>
        <v>3.5094414208166912E-2</v>
      </c>
    </row>
    <row r="53" spans="1:7" x14ac:dyDescent="0.3">
      <c r="A53" s="27" t="s">
        <v>22</v>
      </c>
      <c r="B53" s="34">
        <f>(B41+B49)*B21</f>
        <v>310.48988505747133</v>
      </c>
      <c r="C53" s="49">
        <f>B53/$B$58</f>
        <v>1.7547207104083456E-2</v>
      </c>
    </row>
    <row r="54" spans="1:7" x14ac:dyDescent="0.3">
      <c r="A54" s="27" t="s">
        <v>46</v>
      </c>
      <c r="B54" s="34">
        <f>B14*B29</f>
        <v>1113.3333333333335</v>
      </c>
      <c r="C54" s="49">
        <f>B54/$B$58</f>
        <v>6.2919571670631114E-2</v>
      </c>
    </row>
    <row r="55" spans="1:7" x14ac:dyDescent="0.3">
      <c r="A55" s="27" t="s">
        <v>47</v>
      </c>
      <c r="B55" s="34">
        <f>(B15*B29)*B28</f>
        <v>125.25</v>
      </c>
      <c r="C55" s="49">
        <f>B55/$B$58</f>
        <v>7.0784518129459991E-3</v>
      </c>
    </row>
    <row r="56" spans="1:7" ht="15" thickBot="1" x14ac:dyDescent="0.35">
      <c r="A56" s="53" t="s">
        <v>39</v>
      </c>
      <c r="B56" s="54">
        <f>SUM(B52:B55)</f>
        <v>2170.0529885057476</v>
      </c>
      <c r="C56" s="55">
        <f>B56/$B$58</f>
        <v>0.12263964479582748</v>
      </c>
    </row>
    <row r="57" spans="1:7" ht="15" thickBot="1" x14ac:dyDescent="0.35">
      <c r="A57" s="11"/>
      <c r="B57" s="34"/>
      <c r="C57" s="5"/>
    </row>
    <row r="58" spans="1:7" x14ac:dyDescent="0.3">
      <c r="A58" s="60" t="s">
        <v>48</v>
      </c>
      <c r="B58" s="58">
        <f>B41+B49+B56</f>
        <v>17694.54724137931</v>
      </c>
      <c r="C58" s="61"/>
    </row>
    <row r="59" spans="1:7" x14ac:dyDescent="0.3">
      <c r="A59" s="62">
        <v>0.15</v>
      </c>
      <c r="B59" s="63">
        <f>B58*A59</f>
        <v>2654.1820862068967</v>
      </c>
      <c r="C59" s="37"/>
    </row>
    <row r="60" spans="1:7" s="2" customFormat="1" x14ac:dyDescent="0.3">
      <c r="A60" s="62">
        <v>0.01</v>
      </c>
      <c r="B60" s="63">
        <f>B58*A60</f>
        <v>176.94547241379311</v>
      </c>
      <c r="C60" s="37"/>
      <c r="D60" s="3"/>
      <c r="E60" s="3"/>
      <c r="F60" s="1"/>
      <c r="G60" s="4"/>
    </row>
    <row r="61" spans="1:7" ht="15" thickBot="1" x14ac:dyDescent="0.35">
      <c r="A61" s="64" t="s">
        <v>49</v>
      </c>
      <c r="B61" s="54">
        <f>B58+B59+B60</f>
        <v>20525.674800000001</v>
      </c>
      <c r="C61" s="39"/>
    </row>
    <row r="62" spans="1:7" x14ac:dyDescent="0.3">
      <c r="A62" s="5"/>
      <c r="B62" s="5"/>
      <c r="C62" s="5"/>
    </row>
    <row r="63" spans="1:7" x14ac:dyDescent="0.3">
      <c r="A63" s="65" t="s">
        <v>50</v>
      </c>
      <c r="B63" s="66">
        <f>B58/B3</f>
        <v>15.136481814695731</v>
      </c>
      <c r="C63" s="65"/>
    </row>
    <row r="64" spans="1:7" x14ac:dyDescent="0.3">
      <c r="A64" s="65" t="s">
        <v>51</v>
      </c>
      <c r="B64" s="66">
        <f>B61/B3</f>
        <v>17.558318905047049</v>
      </c>
      <c r="C64" s="65"/>
    </row>
    <row r="65" spans="1:3" x14ac:dyDescent="0.3">
      <c r="A65" s="5"/>
      <c r="B65" s="5"/>
      <c r="C65" s="5"/>
    </row>
  </sheetData>
  <mergeCells count="6">
    <mergeCell ref="A37:C37"/>
    <mergeCell ref="A1:C1"/>
    <mergeCell ref="B4:C4"/>
    <mergeCell ref="B5:C5"/>
    <mergeCell ref="A13:B13"/>
    <mergeCell ref="A27:B2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Macias</dc:creator>
  <cp:lastModifiedBy>Oscar Macias</cp:lastModifiedBy>
  <dcterms:created xsi:type="dcterms:W3CDTF">2020-06-17T15:21:52Z</dcterms:created>
  <dcterms:modified xsi:type="dcterms:W3CDTF">2020-06-19T19:45:15Z</dcterms:modified>
</cp:coreProperties>
</file>